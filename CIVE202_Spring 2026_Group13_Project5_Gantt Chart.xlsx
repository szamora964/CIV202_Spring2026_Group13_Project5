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https://uofnebraska-my.sharepoint.com/personal/75287548_nebraska_edu/Documents/Sophomore Year 25-26/PYTHON CIVE/"/>
    </mc:Choice>
  </mc:AlternateContent>
  <xr:revisionPtr revIDLastSave="0" documentId="8_{683AB15A-9D99-4CA6-A20A-4F9AD0213B54}" xr6:coauthVersionLast="47" xr6:coauthVersionMax="47" xr10:uidLastSave="{00000000-0000-0000-0000-000000000000}"/>
  <bookViews>
    <workbookView xWindow="-98" yWindow="-98" windowWidth="21795" windowHeight="12975"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1" l="1"/>
  <c r="F12" i="11" s="1"/>
  <c r="H7" i="11" l="1"/>
  <c r="Q1" i="11" l="1"/>
  <c r="E9" i="11" l="1"/>
  <c r="E17" i="11" s="1"/>
  <c r="I5" i="11"/>
  <c r="H26" i="11"/>
  <c r="H25" i="11"/>
  <c r="H21" i="11"/>
  <c r="H14" i="11"/>
  <c r="H10" i="11"/>
  <c r="H8" i="11"/>
  <c r="F9" i="11" l="1"/>
  <c r="H9" i="11" s="1"/>
  <c r="H15" i="11"/>
  <c r="H16" i="11"/>
  <c r="I6" i="11"/>
  <c r="H22" i="11" l="1"/>
  <c r="H17" i="11"/>
  <c r="H11" i="11"/>
  <c r="J5" i="11"/>
  <c r="K5" i="11" s="1"/>
  <c r="L5" i="11" s="1"/>
  <c r="M5" i="11" s="1"/>
  <c r="N5" i="11" s="1"/>
  <c r="O5" i="11" s="1"/>
  <c r="P5" i="11" s="1"/>
  <c r="I4" i="11"/>
  <c r="H23" i="11" l="1"/>
  <c r="H24" i="11"/>
  <c r="H18" i="11"/>
  <c r="H12" i="11"/>
  <c r="P4" i="11"/>
  <c r="Q5" i="11"/>
  <c r="R5" i="11" s="1"/>
  <c r="S5" i="11" s="1"/>
  <c r="T5" i="11" s="1"/>
  <c r="U5" i="11" s="1"/>
  <c r="V5" i="11" s="1"/>
  <c r="W5" i="11" s="1"/>
  <c r="J6" i="11"/>
  <c r="H13"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<sst xmlns="http://schemas.openxmlformats.org/spreadsheetml/2006/main" count="56" uniqueCount="48">
  <si>
    <t>Project 5</t>
  </si>
  <si>
    <t>Project start:</t>
  </si>
  <si>
    <t>Group Members</t>
  </si>
  <si>
    <t xml:space="preserve">Ashlee Zamora-Alvarez, Kruvel Worku, Omar Hernandez-Portuguez </t>
  </si>
  <si>
    <t>Display week:</t>
  </si>
  <si>
    <t>TASK</t>
  </si>
  <si>
    <t>ASSIGNED TO</t>
  </si>
  <si>
    <t>PROGRESS</t>
  </si>
  <si>
    <t>START</t>
  </si>
  <si>
    <t>END</t>
  </si>
  <si>
    <t xml:space="preserve">Do not delete this row. This row is hidden to preserve a formula that is used to highlight the current day within the project schedule. </t>
  </si>
  <si>
    <t>Initiation</t>
  </si>
  <si>
    <t>Define goals</t>
  </si>
  <si>
    <t>Ashlee Zamora-Alvarez</t>
  </si>
  <si>
    <t>Planning and design</t>
  </si>
  <si>
    <t>Data Cleaning</t>
  </si>
  <si>
    <t>Kruvel Worku, Omar Hernandez</t>
  </si>
  <si>
    <t>Data Processing</t>
  </si>
  <si>
    <t>Kruvel Worku</t>
  </si>
  <si>
    <t>Define scope</t>
  </si>
  <si>
    <t>Ashlee Zamora</t>
  </si>
  <si>
    <t>Execution</t>
  </si>
  <si>
    <t xml:space="preserve">Writing Code </t>
  </si>
  <si>
    <t>Kruvel, Omar</t>
  </si>
  <si>
    <t>Writing SOW</t>
  </si>
  <si>
    <t>Writing ACD</t>
  </si>
  <si>
    <t>Writing Technical Report</t>
  </si>
  <si>
    <t xml:space="preserve">Time sheet </t>
  </si>
  <si>
    <t>Testing and validation</t>
  </si>
  <si>
    <t>Evaluation</t>
  </si>
  <si>
    <t>Final Report</t>
  </si>
  <si>
    <t>Evaluate progress</t>
  </si>
  <si>
    <t>Gather feedback</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</si>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</sst>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19" xfId="0" applyNumberFormat="1" applyFont="1" applyFill="1" applyBorder="1" applyAlignment="1">
      <alignment horizontal="center" vertical="center"/>
    </xf>
    <xf numFmtId="167" fontId="21" fillId="12" borderId="17"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0" fontId="22" fillId="2" borderId="16" xfId="0" applyFont="1" applyFill="1" applyBorder="1" applyAlignment="1">
      <alignment horizontal="center" vertical="center" shrinkToFit="1"/>
    </xf>
    <xf numFmtId="0" fontId="22" fillId="2" borderId="13"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0" xfId="0" applyFont="1" applyBorder="1" applyAlignment="1">
      <alignment vertical="center"/>
    </xf>
    <xf numFmtId="0" fontId="19" fillId="5" borderId="7" xfId="12" applyFont="1" applyFill="1" applyBorder="1">
      <alignment horizontal="left" vertical="center" indent="2"/>
    </xf>
    <xf numFmtId="0" fontId="19" fillId="5" borderId="7" xfId="11" applyFont="1" applyFill="1" applyBorder="1" applyAlignment="1">
      <alignment vertical="center"/>
    </xf>
    <xf numFmtId="9" fontId="1" fillId="5" borderId="7" xfId="2" applyFont="1" applyFill="1" applyBorder="1" applyAlignment="1">
      <alignment horizontal="center" vertical="center"/>
    </xf>
    <xf numFmtId="164" fontId="19" fillId="5" borderId="7"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9" xfId="0" applyFont="1" applyBorder="1" applyAlignment="1">
      <alignment vertical="center"/>
    </xf>
    <xf numFmtId="0" fontId="19" fillId="10" borderId="8" xfId="12" applyFont="1" applyFill="1" applyBorder="1">
      <alignment horizontal="left" vertical="center" indent="2"/>
    </xf>
    <xf numFmtId="0" fontId="19" fillId="10" borderId="8" xfId="11" applyFont="1" applyFill="1" applyBorder="1" applyAlignment="1">
      <alignment vertical="center"/>
    </xf>
    <xf numFmtId="9" fontId="1" fillId="10" borderId="8" xfId="2" applyFont="1" applyFill="1" applyBorder="1" applyAlignment="1">
      <alignment horizontal="center" vertical="center"/>
    </xf>
    <xf numFmtId="164" fontId="19" fillId="10" borderId="8"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0" fillId="0" borderId="0" xfId="0" applyAlignment="1">
      <alignment horizontal="left" vertical="top"/>
    </xf>
    <xf numFmtId="166" fontId="19" fillId="2" borderId="12"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7" xfId="0" applyNumberFormat="1" applyFont="1" applyFill="1" applyBorder="1" applyAlignment="1">
      <alignment horizontal="center" vertical="center" wrapText="1"/>
    </xf>
    <xf numFmtId="0" fontId="20" fillId="11" borderId="15"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20" fillId="11" borderId="15" xfId="0" applyFont="1" applyFill="1" applyBorder="1" applyAlignment="1">
      <alignment vertical="center"/>
    </xf>
    <xf numFmtId="0" fontId="4" fillId="0" borderId="0" xfId="0" applyFont="1" applyAlignment="1"/>
    <xf numFmtId="0" fontId="28" fillId="0" borderId="0" xfId="0" applyFont="1" applyAlignment="1"/>
    <xf numFmtId="0" fontId="4" fillId="2" borderId="20"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zoomScale="91" zoomScaleNormal="100" zoomScalePageLayoutView="70" workbookViewId="0">
      <selection activeCell="D11" sqref="D11"/>
    </sheetView>
  </sheetViews>
  <sheetFormatPr defaultColWidth="8.75" defaultRowHeight="30" customHeight="1"/>
  <cols>
    <col min="1" max="1" width="2.75" style="13" customWidth="1"/>
    <col min="2" max="2" width="22.75" customWidth="1"/>
    <col min="3" max="3" width="56.5" bestFit="1" customWidth="1"/>
    <col min="4" max="4" width="10.75" customWidth="1"/>
    <col min="5" max="5" width="10.75" style="2" customWidth="1"/>
    <col min="6" max="6" width="12.875" customWidth="1"/>
    <col min="7" max="7" width="2.75" customWidth="1"/>
    <col min="8" max="8" width="6" hidden="1" customWidth="1"/>
    <col min="9" max="65" width="2.75" customWidth="1"/>
  </cols>
  <sheetData>
    <row r="1" spans="1:64" ht="90" customHeight="1">
      <c r="A1" s="14"/>
      <c r="B1" s="93" t="s">
        <v>0</v>
      </c>
      <c r="C1" s="18"/>
      <c r="D1" s="19"/>
      <c r="E1" s="20"/>
      <c r="F1" s="21"/>
      <c r="H1" s="1"/>
      <c r="I1" s="108" t="s">
        <v>1</v>
      </c>
      <c r="J1" s="113"/>
      <c r="K1" s="113"/>
      <c r="L1" s="113"/>
      <c r="M1" s="113"/>
      <c r="N1" s="113"/>
      <c r="O1" s="113"/>
      <c r="P1" s="24"/>
      <c r="Q1" s="107">
        <f ca="1">TODAY()</f>
        <v>46143</v>
      </c>
      <c r="R1" s="114"/>
      <c r="S1" s="114"/>
      <c r="T1" s="114"/>
      <c r="U1" s="114"/>
      <c r="V1" s="114"/>
      <c r="W1" s="114"/>
      <c r="X1" s="114"/>
      <c r="Y1" s="114"/>
      <c r="Z1" s="114"/>
    </row>
    <row r="2" spans="1:64" ht="30" customHeight="1">
      <c r="B2" s="92" t="s">
        <v>2</v>
      </c>
      <c r="C2" s="101" t="s">
        <v>3</v>
      </c>
      <c r="D2" s="22"/>
      <c r="E2" s="23"/>
      <c r="F2" s="22"/>
      <c r="I2" s="108" t="s">
        <v>4</v>
      </c>
      <c r="J2" s="113"/>
      <c r="K2" s="113"/>
      <c r="L2" s="113"/>
      <c r="M2" s="113"/>
      <c r="N2" s="113"/>
      <c r="O2" s="113"/>
      <c r="P2" s="24"/>
      <c r="Q2" s="106">
        <v>1</v>
      </c>
      <c r="R2" s="114"/>
      <c r="S2" s="114"/>
      <c r="T2" s="114"/>
      <c r="U2" s="114"/>
      <c r="V2" s="114"/>
      <c r="W2" s="114"/>
      <c r="X2" s="114"/>
      <c r="Y2" s="114"/>
      <c r="Z2" s="114"/>
    </row>
    <row r="3" spans="1:64" s="26" customFormat="1" ht="30" customHeight="1">
      <c r="A3" s="13"/>
      <c r="B3" s="25"/>
      <c r="D3" s="27"/>
      <c r="E3" s="28"/>
    </row>
    <row r="4" spans="1:64" s="26" customFormat="1" ht="30" customHeight="1">
      <c r="A4" s="14"/>
      <c r="B4" s="29"/>
      <c r="E4" s="30"/>
      <c r="I4" s="104">
        <f ca="1">I5</f>
        <v>46139</v>
      </c>
      <c r="J4" s="102"/>
      <c r="K4" s="102"/>
      <c r="L4" s="102"/>
      <c r="M4" s="102"/>
      <c r="N4" s="102"/>
      <c r="O4" s="102"/>
      <c r="P4" s="102">
        <f ca="1">P5</f>
        <v>46146</v>
      </c>
      <c r="Q4" s="102"/>
      <c r="R4" s="102"/>
      <c r="S4" s="102"/>
      <c r="T4" s="102"/>
      <c r="U4" s="102"/>
      <c r="V4" s="102"/>
      <c r="W4" s="102">
        <f ca="1">W5</f>
        <v>46153</v>
      </c>
      <c r="X4" s="102"/>
      <c r="Y4" s="102"/>
      <c r="Z4" s="102"/>
      <c r="AA4" s="102"/>
      <c r="AB4" s="102"/>
      <c r="AC4" s="102"/>
      <c r="AD4" s="102">
        <f ca="1">AD5</f>
        <v>46160</v>
      </c>
      <c r="AE4" s="102"/>
      <c r="AF4" s="102"/>
      <c r="AG4" s="102"/>
      <c r="AH4" s="102"/>
      <c r="AI4" s="102"/>
      <c r="AJ4" s="102"/>
      <c r="AK4" s="102">
        <f ca="1">AK5</f>
        <v>46167</v>
      </c>
      <c r="AL4" s="102"/>
      <c r="AM4" s="102"/>
      <c r="AN4" s="102"/>
      <c r="AO4" s="102"/>
      <c r="AP4" s="102"/>
      <c r="AQ4" s="102"/>
      <c r="AR4" s="102">
        <f ca="1">AR5</f>
        <v>46174</v>
      </c>
      <c r="AS4" s="102"/>
      <c r="AT4" s="102"/>
      <c r="AU4" s="102"/>
      <c r="AV4" s="102"/>
      <c r="AW4" s="102"/>
      <c r="AX4" s="102"/>
      <c r="AY4" s="102">
        <f ca="1">AY5</f>
        <v>46181</v>
      </c>
      <c r="AZ4" s="102"/>
      <c r="BA4" s="102"/>
      <c r="BB4" s="102"/>
      <c r="BC4" s="102"/>
      <c r="BD4" s="102"/>
      <c r="BE4" s="102"/>
      <c r="BF4" s="102">
        <f ca="1">BF5</f>
        <v>46188</v>
      </c>
      <c r="BG4" s="102"/>
      <c r="BH4" s="102"/>
      <c r="BI4" s="102"/>
      <c r="BJ4" s="102"/>
      <c r="BK4" s="102"/>
      <c r="BL4" s="103"/>
    </row>
    <row r="5" spans="1:64" s="26" customFormat="1" ht="15" customHeight="1">
      <c r="A5" s="109"/>
      <c r="B5" s="110" t="s">
        <v>5</v>
      </c>
      <c r="C5" s="112" t="s">
        <v>6</v>
      </c>
      <c r="D5" s="105" t="s">
        <v>7</v>
      </c>
      <c r="E5" s="105" t="s">
        <v>8</v>
      </c>
      <c r="F5" s="105" t="s">
        <v>9</v>
      </c>
      <c r="I5" s="31">
        <f ca="1">Project_Start-WEEKDAY(Project_Start,1)+2+7*(Display_Week-1)</f>
        <v>46139</v>
      </c>
      <c r="J5" s="31">
        <f ca="1">I5+1</f>
        <v>46140</v>
      </c>
      <c r="K5" s="31">
        <f t="shared" ref="K5:AX5" ca="1" si="0">J5+1</f>
        <v>46141</v>
      </c>
      <c r="L5" s="31">
        <f t="shared" ca="1" si="0"/>
        <v>46142</v>
      </c>
      <c r="M5" s="31">
        <f t="shared" ca="1" si="0"/>
        <v>46143</v>
      </c>
      <c r="N5" s="31">
        <f t="shared" ca="1" si="0"/>
        <v>46144</v>
      </c>
      <c r="O5" s="32">
        <f t="shared" ca="1" si="0"/>
        <v>46145</v>
      </c>
      <c r="P5" s="33">
        <f ca="1">O5+1</f>
        <v>46146</v>
      </c>
      <c r="Q5" s="31">
        <f ca="1">P5+1</f>
        <v>46147</v>
      </c>
      <c r="R5" s="31">
        <f t="shared" ca="1" si="0"/>
        <v>46148</v>
      </c>
      <c r="S5" s="31">
        <f t="shared" ca="1" si="0"/>
        <v>46149</v>
      </c>
      <c r="T5" s="31">
        <f t="shared" ca="1" si="0"/>
        <v>46150</v>
      </c>
      <c r="U5" s="31">
        <f t="shared" ca="1" si="0"/>
        <v>46151</v>
      </c>
      <c r="V5" s="32">
        <f t="shared" ca="1" si="0"/>
        <v>46152</v>
      </c>
      <c r="W5" s="33">
        <f ca="1">V5+1</f>
        <v>46153</v>
      </c>
      <c r="X5" s="31">
        <f ca="1">W5+1</f>
        <v>46154</v>
      </c>
      <c r="Y5" s="31">
        <f t="shared" ca="1" si="0"/>
        <v>46155</v>
      </c>
      <c r="Z5" s="31">
        <f t="shared" ca="1" si="0"/>
        <v>46156</v>
      </c>
      <c r="AA5" s="31">
        <f t="shared" ca="1" si="0"/>
        <v>46157</v>
      </c>
      <c r="AB5" s="31">
        <f t="shared" ca="1" si="0"/>
        <v>46158</v>
      </c>
      <c r="AC5" s="32">
        <f t="shared" ca="1" si="0"/>
        <v>46159</v>
      </c>
      <c r="AD5" s="33">
        <f ca="1">AC5+1</f>
        <v>46160</v>
      </c>
      <c r="AE5" s="31">
        <f ca="1">AD5+1</f>
        <v>46161</v>
      </c>
      <c r="AF5" s="31">
        <f t="shared" ca="1" si="0"/>
        <v>46162</v>
      </c>
      <c r="AG5" s="31">
        <f t="shared" ca="1" si="0"/>
        <v>46163</v>
      </c>
      <c r="AH5" s="31">
        <f t="shared" ca="1" si="0"/>
        <v>46164</v>
      </c>
      <c r="AI5" s="31">
        <f t="shared" ca="1" si="0"/>
        <v>46165</v>
      </c>
      <c r="AJ5" s="32">
        <f t="shared" ca="1" si="0"/>
        <v>46166</v>
      </c>
      <c r="AK5" s="33">
        <f ca="1">AJ5+1</f>
        <v>46167</v>
      </c>
      <c r="AL5" s="31">
        <f ca="1">AK5+1</f>
        <v>46168</v>
      </c>
      <c r="AM5" s="31">
        <f t="shared" ca="1" si="0"/>
        <v>46169</v>
      </c>
      <c r="AN5" s="31">
        <f t="shared" ca="1" si="0"/>
        <v>46170</v>
      </c>
      <c r="AO5" s="31">
        <f t="shared" ca="1" si="0"/>
        <v>46171</v>
      </c>
      <c r="AP5" s="31">
        <f t="shared" ca="1" si="0"/>
        <v>46172</v>
      </c>
      <c r="AQ5" s="32">
        <f t="shared" ca="1" si="0"/>
        <v>46173</v>
      </c>
      <c r="AR5" s="33">
        <f ca="1">AQ5+1</f>
        <v>46174</v>
      </c>
      <c r="AS5" s="31">
        <f ca="1">AR5+1</f>
        <v>46175</v>
      </c>
      <c r="AT5" s="31">
        <f t="shared" ca="1" si="0"/>
        <v>46176</v>
      </c>
      <c r="AU5" s="31">
        <f t="shared" ca="1" si="0"/>
        <v>46177</v>
      </c>
      <c r="AV5" s="31">
        <f t="shared" ca="1" si="0"/>
        <v>46178</v>
      </c>
      <c r="AW5" s="31">
        <f t="shared" ca="1" si="0"/>
        <v>46179</v>
      </c>
      <c r="AX5" s="32">
        <f t="shared" ca="1" si="0"/>
        <v>46180</v>
      </c>
      <c r="AY5" s="33">
        <f ca="1">AX5+1</f>
        <v>46181</v>
      </c>
      <c r="AZ5" s="31">
        <f ca="1">AY5+1</f>
        <v>46182</v>
      </c>
      <c r="BA5" s="31">
        <f t="shared" ref="BA5:BE5" ca="1" si="1">AZ5+1</f>
        <v>46183</v>
      </c>
      <c r="BB5" s="31">
        <f t="shared" ca="1" si="1"/>
        <v>46184</v>
      </c>
      <c r="BC5" s="31">
        <f t="shared" ca="1" si="1"/>
        <v>46185</v>
      </c>
      <c r="BD5" s="31">
        <f t="shared" ca="1" si="1"/>
        <v>46186</v>
      </c>
      <c r="BE5" s="32">
        <f t="shared" ca="1" si="1"/>
        <v>46187</v>
      </c>
      <c r="BF5" s="33">
        <f ca="1">BE5+1</f>
        <v>46188</v>
      </c>
      <c r="BG5" s="31">
        <f ca="1">BF5+1</f>
        <v>46189</v>
      </c>
      <c r="BH5" s="31">
        <f t="shared" ref="BH5:BL5" ca="1" si="2">BG5+1</f>
        <v>46190</v>
      </c>
      <c r="BI5" s="31">
        <f t="shared" ca="1" si="2"/>
        <v>46191</v>
      </c>
      <c r="BJ5" s="31">
        <f t="shared" ca="1" si="2"/>
        <v>46192</v>
      </c>
      <c r="BK5" s="31">
        <f t="shared" ca="1" si="2"/>
        <v>46193</v>
      </c>
      <c r="BL5" s="31">
        <f t="shared" ca="1" si="2"/>
        <v>46194</v>
      </c>
    </row>
    <row r="6" spans="1:64" s="26" customFormat="1" ht="15" customHeight="1" thickBot="1">
      <c r="A6" s="109"/>
      <c r="B6" s="111"/>
      <c r="C6" s="115"/>
      <c r="D6" s="115"/>
      <c r="E6" s="115"/>
      <c r="F6" s="115"/>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c r="A7" s="13" t="s">
        <v>10</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11</v>
      </c>
      <c r="C8" s="41"/>
      <c r="D8" s="42"/>
      <c r="E8" s="43"/>
      <c r="F8" s="44"/>
      <c r="G8" s="17"/>
      <c r="H8" s="5" t="str">
        <f t="shared" ref="H8:H26" ca="1"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12</v>
      </c>
      <c r="C9" s="48" t="s">
        <v>13</v>
      </c>
      <c r="D9" s="49">
        <v>1</v>
      </c>
      <c r="E9" s="50">
        <f ca="1">Project_Start</f>
        <v>46143</v>
      </c>
      <c r="F9" s="50">
        <f ca="1">E9+3</f>
        <v>46146</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c r="A10" s="14"/>
      <c r="B10" s="53" t="s">
        <v>14</v>
      </c>
      <c r="C10" s="54"/>
      <c r="D10" s="55"/>
      <c r="E10" s="56"/>
      <c r="F10" s="57"/>
      <c r="G10" s="17"/>
      <c r="H10" s="5" t="str">
        <f t="shared" ca="1" si="5"/>
        <v/>
      </c>
    </row>
    <row r="11" spans="1:64" s="46" customFormat="1" ht="30" customHeight="1" thickBot="1">
      <c r="A11" s="14"/>
      <c r="B11" s="58" t="s">
        <v>15</v>
      </c>
      <c r="C11" s="59" t="s">
        <v>16</v>
      </c>
      <c r="D11" s="60">
        <v>1</v>
      </c>
      <c r="E11" s="61">
        <v>46137</v>
      </c>
      <c r="F11" s="61">
        <v>46148</v>
      </c>
      <c r="G11" s="17"/>
      <c r="H11" s="5">
        <f t="shared" ca="1" si="5"/>
        <v>12</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c r="A12" s="13"/>
      <c r="B12" s="58" t="s">
        <v>17</v>
      </c>
      <c r="C12" s="59" t="s">
        <v>18</v>
      </c>
      <c r="D12" s="60">
        <v>1</v>
      </c>
      <c r="E12" s="61">
        <f>E11+2</f>
        <v>46139</v>
      </c>
      <c r="F12" s="61">
        <f>E12+5</f>
        <v>46144</v>
      </c>
      <c r="G12" s="17"/>
      <c r="H12" s="5">
        <f t="shared" ca="1" si="5"/>
        <v>6</v>
      </c>
      <c r="I12" s="51"/>
      <c r="J12" s="51"/>
      <c r="K12" s="51"/>
      <c r="L12" s="51"/>
      <c r="M12" s="51"/>
      <c r="N12" s="51"/>
      <c r="O12" s="51"/>
      <c r="P12" s="51"/>
      <c r="Q12" s="51"/>
      <c r="R12" s="51"/>
      <c r="S12" s="51"/>
      <c r="T12" s="51"/>
      <c r="U12" s="52"/>
      <c r="V12" s="52"/>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c r="A13" s="13"/>
      <c r="B13" s="58" t="s">
        <v>19</v>
      </c>
      <c r="C13" s="59" t="s">
        <v>20</v>
      </c>
      <c r="D13" s="60">
        <v>1</v>
      </c>
      <c r="E13" s="61">
        <v>46085</v>
      </c>
      <c r="F13" s="61">
        <v>46088</v>
      </c>
      <c r="G13" s="17"/>
      <c r="H13" s="5">
        <f t="shared" ca="1" si="5"/>
        <v>4</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c r="A14" s="13"/>
      <c r="B14" s="62" t="s">
        <v>21</v>
      </c>
      <c r="C14" s="63"/>
      <c r="D14" s="64"/>
      <c r="E14" s="65"/>
      <c r="F14" s="66"/>
      <c r="G14" s="17"/>
      <c r="H14" s="5" t="str">
        <f t="shared" ca="1" si="5"/>
        <v/>
      </c>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row>
    <row r="15" spans="1:64" s="46" customFormat="1" ht="30" customHeight="1" thickBot="1">
      <c r="A15" s="13"/>
      <c r="B15" s="68" t="s">
        <v>22</v>
      </c>
      <c r="C15" s="69" t="s">
        <v>23</v>
      </c>
      <c r="D15" s="70">
        <v>1</v>
      </c>
      <c r="E15" s="71">
        <v>46143</v>
      </c>
      <c r="F15" s="71">
        <v>46146</v>
      </c>
      <c r="G15" s="17"/>
      <c r="H15" s="5">
        <f t="shared" ca="1" si="5"/>
        <v>4</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c r="A16" s="13"/>
      <c r="B16" s="68" t="s">
        <v>24</v>
      </c>
      <c r="C16" s="69" t="s">
        <v>13</v>
      </c>
      <c r="D16" s="70">
        <v>1</v>
      </c>
      <c r="E16" s="71">
        <v>46137</v>
      </c>
      <c r="F16" s="71">
        <v>46147</v>
      </c>
      <c r="G16" s="17"/>
      <c r="H16" s="5">
        <f t="shared" ca="1" si="5"/>
        <v>11</v>
      </c>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c r="A17" s="13"/>
      <c r="B17" s="68" t="s">
        <v>25</v>
      </c>
      <c r="C17" s="69" t="s">
        <v>16</v>
      </c>
      <c r="D17" s="70">
        <v>1</v>
      </c>
      <c r="E17" s="71">
        <f>F15+1</f>
        <v>46147</v>
      </c>
      <c r="F17" s="71">
        <v>46148</v>
      </c>
      <c r="G17" s="17"/>
      <c r="H17" s="5">
        <f t="shared" ca="1" si="5"/>
        <v>2</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c r="A18" s="13"/>
      <c r="B18" s="68" t="s">
        <v>26</v>
      </c>
      <c r="C18" s="69" t="s">
        <v>3</v>
      </c>
      <c r="D18" s="70">
        <v>1</v>
      </c>
      <c r="E18" s="71">
        <v>46143</v>
      </c>
      <c r="F18" s="71">
        <v>46148</v>
      </c>
      <c r="G18" s="17"/>
      <c r="H18" s="5">
        <f t="shared" ca="1" si="5"/>
        <v>6</v>
      </c>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c r="A19" s="13"/>
      <c r="B19" s="68" t="s">
        <v>27</v>
      </c>
      <c r="C19" s="69" t="s">
        <v>3</v>
      </c>
      <c r="D19" s="70">
        <v>1</v>
      </c>
      <c r="E19" s="71">
        <v>46085</v>
      </c>
      <c r="F19" s="71">
        <v>46148</v>
      </c>
      <c r="G19" s="17"/>
      <c r="H19" s="5"/>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c r="A20" s="13"/>
      <c r="B20" s="68" t="s">
        <v>28</v>
      </c>
      <c r="C20" s="69" t="s">
        <v>3</v>
      </c>
      <c r="D20" s="70">
        <v>1</v>
      </c>
      <c r="E20" s="71">
        <v>46146</v>
      </c>
      <c r="F20" s="71">
        <v>46147</v>
      </c>
      <c r="G20" s="17"/>
      <c r="H20" s="5"/>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c r="A21" s="13"/>
      <c r="B21" s="72" t="s">
        <v>29</v>
      </c>
      <c r="C21" s="73"/>
      <c r="D21" s="74"/>
      <c r="E21" s="75"/>
      <c r="F21" s="76"/>
      <c r="G21" s="17"/>
      <c r="H21" s="5" t="str">
        <f t="shared" ca="1" si="5"/>
        <v/>
      </c>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row>
    <row r="22" spans="1:64" s="46" customFormat="1" ht="30" customHeight="1" thickBot="1">
      <c r="A22" s="13"/>
      <c r="B22" s="78" t="s">
        <v>30</v>
      </c>
      <c r="C22" s="79" t="s">
        <v>3</v>
      </c>
      <c r="D22" s="80">
        <v>1</v>
      </c>
      <c r="E22" s="81">
        <v>46133</v>
      </c>
      <c r="F22" s="81">
        <v>46150</v>
      </c>
      <c r="G22" s="17"/>
      <c r="H22" s="5">
        <f t="shared" ca="1" si="5"/>
        <v>18</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c r="A23" s="13"/>
      <c r="B23" s="78" t="s">
        <v>31</v>
      </c>
      <c r="C23" s="79" t="s">
        <v>3</v>
      </c>
      <c r="D23" s="80">
        <v>1</v>
      </c>
      <c r="E23" s="81">
        <v>46143</v>
      </c>
      <c r="F23" s="81">
        <v>46150</v>
      </c>
      <c r="G23" s="17"/>
      <c r="H23" s="5">
        <f t="shared" ca="1" si="5"/>
        <v>8</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c r="A24" s="13"/>
      <c r="B24" s="78" t="s">
        <v>32</v>
      </c>
      <c r="C24" s="79" t="s">
        <v>3</v>
      </c>
      <c r="D24" s="80">
        <v>1</v>
      </c>
      <c r="E24" s="81">
        <v>46148</v>
      </c>
      <c r="F24" s="81">
        <v>46150</v>
      </c>
      <c r="G24" s="17"/>
      <c r="H24" s="5">
        <f t="shared" ca="1" si="5"/>
        <v>3</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c r="A25" s="13"/>
      <c r="B25" s="82"/>
      <c r="C25" s="83"/>
      <c r="D25" s="84"/>
      <c r="E25" s="85"/>
      <c r="F25" s="85"/>
      <c r="G25" s="17"/>
      <c r="H25" s="5" t="str">
        <f t="shared" ca="1" si="5"/>
        <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64" s="46" customFormat="1" ht="30" customHeight="1" thickBot="1">
      <c r="A26" s="14"/>
      <c r="B26" s="86" t="s">
        <v>33</v>
      </c>
      <c r="C26" s="87"/>
      <c r="D26" s="88"/>
      <c r="E26" s="89"/>
      <c r="F26" s="90"/>
      <c r="G26" s="17"/>
      <c r="H26" s="6" t="str">
        <f t="shared" ca="1" si="5"/>
        <v/>
      </c>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row>
    <row r="27" spans="1:64" ht="30" customHeight="1">
      <c r="G27" s="3"/>
    </row>
    <row r="28" spans="1:64" ht="30" customHeight="1">
      <c r="C28" s="16"/>
      <c r="F28" s="15"/>
    </row>
    <row r="29" spans="1:64" ht="30" customHeight="1">
      <c r="C29"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10 D14 D21 D25:D26">
    <cfRule type="dataBar" priority="2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11:D13">
    <cfRule type="dataBar" priority="3">
      <dataBar>
        <cfvo type="num" val="0"/>
        <cfvo type="num" val="1"/>
        <color theme="0"/>
      </dataBar>
      <extLst>
        <ext xmlns:x14="http://schemas.microsoft.com/office/spreadsheetml/2009/9/main" uri="{B025F937-C7B1-47D3-B67F-A62EFF666E3E}">
          <x14:id>{A22F9D04-24A9-4DD1-9676-8ACDD3119690}</x14:id>
        </ext>
      </extLst>
    </cfRule>
  </conditionalFormatting>
  <conditionalFormatting sqref="D15:D20">
    <cfRule type="dataBar" priority="2">
      <dataBar>
        <cfvo type="num" val="0"/>
        <cfvo type="num" val="1"/>
        <color theme="0"/>
      </dataBar>
      <extLst>
        <ext xmlns:x14="http://schemas.microsoft.com/office/spreadsheetml/2009/9/main" uri="{B025F937-C7B1-47D3-B67F-A62EFF666E3E}">
          <x14:id>{1F6A5DBA-D702-46F9-866D-C9325B7174D0}</x14:id>
        </ext>
      </extLst>
    </cfRule>
  </conditionalFormatting>
  <conditionalFormatting sqref="D22:D24">
    <cfRule type="dataBar" priority="1">
      <dataBar>
        <cfvo type="num" val="0"/>
        <cfvo type="num" val="1"/>
        <color theme="0"/>
      </dataBar>
      <extLst>
        <ext xmlns:x14="http://schemas.microsoft.com/office/spreadsheetml/2009/9/main" uri="{B025F937-C7B1-47D3-B67F-A62EFF666E3E}">
          <x14:id>{0F917D48-7B20-49AC-A87C-0EC22A023621}</x14:id>
        </ext>
      </extLst>
    </cfRule>
  </conditionalFormatting>
  <conditionalFormatting sqref="I4:BL24">
    <cfRule type="expression" dxfId="8" priority="4">
      <formula>AND(TODAY()&gt;=I$5, TODAY()&lt;J$5)</formula>
    </cfRule>
  </conditionalFormatting>
  <conditionalFormatting sqref="I9:BL9">
    <cfRule type="expression" dxfId="7" priority="9">
      <formula>AND(task_start&lt;=I$5,ROUNDDOWN((task_end-task_start+1)*task_progress,0)+task_start-1&gt;=I$5)</formula>
    </cfRule>
    <cfRule type="expression" dxfId="6" priority="10" stopIfTrue="1">
      <formula>AND(task_end&gt;=I$5,task_start&lt;J$5)</formula>
    </cfRule>
  </conditionalFormatting>
  <conditionalFormatting sqref="I11:BL13">
    <cfRule type="expression" dxfId="5" priority="7">
      <formula>AND(task_start&lt;=I$5,ROUNDDOWN((task_end-task_start+1)*task_progress,0)+task_start-1&gt;=I$5)</formula>
    </cfRule>
    <cfRule type="expression" dxfId="4" priority="8" stopIfTrue="1">
      <formula>AND(task_end&gt;=I$5,task_start&lt;J$5)</formula>
    </cfRule>
  </conditionalFormatting>
  <conditionalFormatting sqref="I15:BL20">
    <cfRule type="expression" dxfId="3" priority="5">
      <formula>AND(task_start&lt;=I$5,ROUNDDOWN((task_end-task_start+1)*task_progress,0)+task_start-1&gt;=I$5)</formula>
    </cfRule>
    <cfRule type="expression" dxfId="2" priority="6" stopIfTrue="1">
      <formula>AND(task_end&gt;=I$5,task_start&lt;J$5)</formula>
    </cfRule>
  </conditionalFormatting>
  <conditionalFormatting sqref="I22:BL24">
    <cfRule type="expression" dxfId="1" priority="39">
      <formula>AND(task_start&lt;=I$5,ROUNDDOWN((task_end-task_start+1)*task_progress,0)+task_start-1&gt;=I$5)</formula>
    </cfRule>
    <cfRule type="expression" dxfId="0" priority="40"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0" xr:uid="{4F48FC41-E335-47F1-87AA-3333A52AD81C}"/>
    <dataValidation allowBlank="1" showInputMessage="1" showErrorMessage="1" prompt="Phase 3's sample block starts in cell B20." sqref="A14" xr:uid="{956902D1-D3B5-416D-BB69-9362D193BC0A}"/>
    <dataValidation allowBlank="1" showInputMessage="1" showErrorMessage="1" prompt="Phase 4's sample block starts in cell B26." sqref="A2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6"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D7:D10 D14 D21 D25:D26</xm:sqref>
        </x14:conditionalFormatting>
        <x14:conditionalFormatting xmlns:xm="http://schemas.microsoft.com/office/excel/2006/main">
          <x14:cfRule type="dataBar" id="{A22F9D04-24A9-4DD1-9676-8ACDD3119690}">
            <x14:dataBar minLength="0" maxLength="100" gradient="0">
              <x14:cfvo type="num">
                <xm:f>0</xm:f>
              </x14:cfvo>
              <x14:cfvo type="num">
                <xm:f>1</xm:f>
              </x14:cfvo>
              <x14:negativeFillColor rgb="FFFF0000"/>
              <x14:axisColor rgb="FF000000"/>
            </x14:dataBar>
          </x14:cfRule>
          <xm:sqref>D11:D13</xm:sqref>
        </x14:conditionalFormatting>
        <x14:conditionalFormatting xmlns:xm="http://schemas.microsoft.com/office/excel/2006/main">
          <x14:cfRule type="dataBar" id="{1F6A5DBA-D702-46F9-866D-C9325B7174D0}">
            <x14:dataBar minLength="0" maxLength="100" gradient="0">
              <x14:cfvo type="num">
                <xm:f>0</xm:f>
              </x14:cfvo>
              <x14:cfvo type="num">
                <xm:f>1</xm:f>
              </x14:cfvo>
              <x14:negativeFillColor rgb="FFFF0000"/>
              <x14:axisColor rgb="FF000000"/>
            </x14:dataBar>
          </x14:cfRule>
          <xm:sqref>D15:D20</xm:sqref>
        </x14:conditionalFormatting>
        <x14:conditionalFormatting xmlns:xm="http://schemas.microsoft.com/office/excel/2006/main">
          <x14:cfRule type="dataBar" id="{0F917D48-7B20-49AC-A87C-0EC22A023621}">
            <x14:dataBar minLength="0" maxLength="100" gradient="0">
              <x14:cfvo type="num">
                <xm:f>0</xm:f>
              </x14:cfvo>
              <x14:cfvo type="num">
                <xm:f>1</xm:f>
              </x14:cfvo>
              <x14:negativeFillColor rgb="FFFF0000"/>
              <x14:axisColor rgb="FF000000"/>
            </x14:dataBar>
          </x14:cfRule>
          <xm:sqref>D22:D24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cols>
    <col min="1" max="1" width="87" style="7" customWidth="1"/>
    <col min="2" max="16384" width="9" style="1"/>
  </cols>
  <sheetData>
    <row r="1" spans="1:2" ht="46.5" customHeight="1"/>
    <row r="2" spans="1:2" s="9" customFormat="1" ht="15">
      <c r="A2" s="94" t="s">
        <v>34</v>
      </c>
      <c r="B2" s="8"/>
    </row>
    <row r="3" spans="1:2" s="11" customFormat="1" ht="27" customHeight="1">
      <c r="A3" s="95"/>
      <c r="B3" s="12"/>
    </row>
    <row r="4" spans="1:2" s="10" customFormat="1" ht="30">
      <c r="A4" s="96" t="s">
        <v>35</v>
      </c>
    </row>
    <row r="5" spans="1:2" ht="74.25" customHeight="1">
      <c r="A5" s="97" t="s">
        <v>36</v>
      </c>
    </row>
    <row r="6" spans="1:2" ht="26.25" customHeight="1">
      <c r="A6" s="96" t="s">
        <v>37</v>
      </c>
    </row>
    <row r="7" spans="1:2" s="7" customFormat="1" ht="205.15" customHeight="1">
      <c r="A7" s="98" t="s">
        <v>38</v>
      </c>
    </row>
    <row r="8" spans="1:2" s="10" customFormat="1" ht="30">
      <c r="A8" s="96" t="s">
        <v>39</v>
      </c>
    </row>
    <row r="9" spans="1:2" ht="40.5">
      <c r="A9" s="97" t="s">
        <v>40</v>
      </c>
    </row>
    <row r="10" spans="1:2" s="7" customFormat="1" ht="28.15" customHeight="1">
      <c r="A10" s="99" t="s">
        <v>41</v>
      </c>
    </row>
    <row r="11" spans="1:2" s="10" customFormat="1" ht="30">
      <c r="A11" s="96" t="s">
        <v>42</v>
      </c>
    </row>
    <row r="12" spans="1:2" ht="27">
      <c r="A12" s="97" t="s">
        <v>43</v>
      </c>
    </row>
    <row r="13" spans="1:2" s="7" customFormat="1" ht="28.15" customHeight="1">
      <c r="A13" s="99" t="s">
        <v>44</v>
      </c>
    </row>
    <row r="14" spans="1:2" s="10" customFormat="1" ht="30">
      <c r="A14" s="96" t="s">
        <v>45</v>
      </c>
    </row>
    <row r="15" spans="1:2" ht="75" customHeight="1">
      <c r="A15" s="97" t="s">
        <v>46</v>
      </c>
    </row>
    <row r="16" spans="1:2" ht="67.5">
      <c r="A16" s="97" t="s">
        <v>47</v>
      </c>
    </row>
    <row r="17" spans="1:1">
      <c r="A17" s="100"/>
    </row>
    <row r="18" spans="1:1">
      <c r="A18" s="100"/>
    </row>
    <row r="19" spans="1:1">
      <c r="A19" s="100"/>
    </row>
    <row r="20" spans="1:1">
      <c r="A20" s="100"/>
    </row>
    <row r="21" spans="1:1">
      <c r="A21" s="100"/>
    </row>
    <row r="22" spans="1:1">
      <c r="A22" s="100"/>
    </row>
    <row r="23" spans="1:1">
      <c r="A23" s="100"/>
    </row>
    <row r="24" spans="1:1">
      <c r="A24" s="10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A09426A3-87E9-4865-8A6C-3456B026AE03}"/>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Ashlee Zamora Alvarez</dc:creator>
  <cp:keywords/>
  <dc:description/>
  <cp:lastModifiedBy/>
  <cp:revision/>
  <dcterms:created xsi:type="dcterms:W3CDTF">2022-03-11T22:41:12Z</dcterms:created>
  <dcterms:modified xsi:type="dcterms:W3CDTF">2026-05-01T21:11:48Z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